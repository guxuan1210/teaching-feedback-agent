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4240" yWindow="640" windowWidth="28040" windowHeight="15800"/>
  </bookViews>
  <sheets>
    <sheet name="晚辅课_每日量化反馈表" sheetId="2" r:id="rId1"/>
    <sheet name="专项加时课_单次量化反馈表" sheetId="3" r:id="rId2"/>
    <sheet name="月度学情量化汇总表" sheetId="4" r:id="rId3"/>
  </sheets>
  <calcPr calcId="144525"/>
</workbook>
</file>

<file path=xl/sharedStrings.xml><?xml version="1.0" encoding="utf-8"?>
<sst xmlns="http://schemas.openxmlformats.org/spreadsheetml/2006/main" count="161">
  <si>
    <t>学生姓名</t>
  </si>
  <si>
    <t>年级</t>
  </si>
  <si>
    <t>晚辅档位</t>
  </si>
  <si>
    <t>匹配九阶阶段</t>
  </si>
  <si>
    <t>日期</t>
  </si>
  <si>
    <t>任课老师</t>
  </si>
  <si>
    <t>维度1：知识掌握（量化评级）</t>
  </si>
  <si>
    <t>维度2：学习习惯（量化评级）</t>
  </si>
  <si>
    <t>维度3：心态&amp;学习内驱力（量化评级）</t>
  </si>
  <si>
    <t>评级：</t>
  </si>
  <si>
    <t>核心进步/已掌握项（可多选打√）</t>
  </si>
  <si>
    <t>□ 校内当日知识点100%掌握</t>
  </si>
  <si>
    <t>□ 作业正确率较昨日提升</t>
  </si>
  <si>
    <t>□ 独立完成订正，无二次错误</t>
  </si>
  <si>
    <t>□ 预习/复习任务完整落实</t>
  </si>
  <si>
    <t>□ 能独立讲解当日核心例题</t>
  </si>
  <si>
    <t>补充：________________________</t>
  </si>
  <si>
    <t>待巩固/薄弱项（可多选打√）</t>
  </si>
  <si>
    <t>□ 基础概念理解不透彻</t>
  </si>
  <si>
    <t>□ 计算粗心，高频出错</t>
  </si>
  <si>
    <t>□ 知识点不会灵活运用</t>
  </si>
  <si>
    <t>□ 同类题目反复出错</t>
  </si>
  <si>
    <t>□ 拓展题完全无思路</t>
  </si>
  <si>
    <t>当日错题核心类型（可多选打√）</t>
  </si>
  <si>
    <t>□ 审题失误（看错条件/问法）</t>
  </si>
  <si>
    <t>□ 计算类错误</t>
  </si>
  <si>
    <t>□ 概念混淆类错误</t>
  </si>
  <si>
    <t>□ 知识点遗忘类错误</t>
  </si>
  <si>
    <t>□ 答题不规范/步骤缺失</t>
  </si>
  <si>
    <t>已固化/进步习惯（可多选打√）</t>
  </si>
  <si>
    <t>□ 桌面/书包物品规整到位</t>
  </si>
  <si>
    <t>□ 作业计时管理，效率提升</t>
  </si>
  <si>
    <t>□ 审题主动圈画关键信息</t>
  </si>
  <si>
    <t>□ 书写规范，卷面整洁无涂改</t>
  </si>
  <si>
    <t>□ 做完主动自检，独立订正</t>
  </si>
  <si>
    <t>□ 主动做笔记/整理错题</t>
  </si>
  <si>
    <t>待强化习惯（可多选打√）</t>
  </si>
  <si>
    <t>□ 丢三落四，作业/书本遗漏</t>
  </si>
  <si>
    <t>□ 作业拖拉，耗时超预期</t>
  </si>
  <si>
    <t>□ 审题不仔细，凭感觉做题</t>
  </si>
  <si>
    <t>□ 字迹潦草，涂改频繁</t>
  </si>
  <si>
    <t>□ 依赖老师/家长检查，不自检</t>
  </si>
  <si>
    <t>□ 错题不整理，不复盘</t>
  </si>
  <si>
    <t>次日习惯训练重点（直接选）</t>
  </si>
  <si>
    <t>□ 物品收纳专项训练</t>
  </si>
  <si>
    <t>□ 作业计时管控训练</t>
  </si>
  <si>
    <t>□ 审题圈画专项训练</t>
  </si>
  <si>
    <t>□ 书写规范专项纠正</t>
  </si>
  <si>
    <t>□ 独立自检习惯培养</t>
  </si>
  <si>
    <t>□ 错题整理方法指导</t>
  </si>
  <si>
    <t>正向成长表现（可多选打√）</t>
  </si>
  <si>
    <t>□ 全程专注，无走神/小动作</t>
  </si>
  <si>
    <t>□ 遇到难题不放弃，主动尝试</t>
  </si>
  <si>
    <t>□ 主动提问，敢于表达想法</t>
  </si>
  <si>
    <t>□ 学习情绪稳定，配合度高</t>
  </si>
  <si>
    <t>□ 有自主学习意识，主动安排任务</t>
  </si>
  <si>
    <t>待引导调整项（可多选打√）</t>
  </si>
  <si>
    <t>□ 上课/写作业容易走神</t>
  </si>
  <si>
    <t>□ 遇难题就畏难，直接放弃</t>
  </si>
  <si>
    <t>□ 不敢提问，不懂装懂</t>
  </si>
  <si>
    <t>□ 情绪浮躁，配合度差</t>
  </si>
  <si>
    <t>□ 学习被动，不停催促</t>
  </si>
  <si>
    <t>次日心态引导方向（直接选）</t>
  </si>
  <si>
    <t>□ 专注力专项引导</t>
  </si>
  <si>
    <t>□ 抗挫心态引导</t>
  </si>
  <si>
    <t>□ 主动表达鼓励引导</t>
  </si>
  <si>
    <t>□ 情绪稳定性引导</t>
  </si>
  <si>
    <t>□ 自主内驱力引导</t>
  </si>
  <si>
    <t>核心闭环模块</t>
  </si>
  <si>
    <t>当日核心亮点总结（直接选）</t>
  </si>
  <si>
    <t>□ 知识掌握扎实，进步明显</t>
  </si>
  <si>
    <t>□ 学习习惯有突破性改善</t>
  </si>
  <si>
    <t>□ 心态状态积极，主动性提升</t>
  </si>
  <si>
    <t>□ 综合表现稳定，持续向好</t>
  </si>
  <si>
    <t>其他：________________________</t>
  </si>
  <si>
    <t>次日备课&amp;辅导核心重点</t>
  </si>
  <si>
    <t>□ 知识补漏：________________________</t>
  </si>
  <si>
    <t>□ 习惯强化：________________________</t>
  </si>
  <si>
    <t>□ 心态引导：________________________</t>
  </si>
  <si>
    <t>家校配合建议（标准化选项）</t>
  </si>
  <si>
    <t>□ 在家同步督促孩子独立完成作业，不陪写</t>
  </si>
  <si>
    <t>□ 在家引导孩子整理错题，复盘当日内容</t>
  </si>
  <si>
    <t>□ 多鼓励孩子，减少负面催促</t>
  </si>
  <si>
    <t>□ 其他：________________________</t>
  </si>
  <si>
    <t>老师签字：</t>
  </si>
  <si>
    <t>家长反馈/签字：</t>
  </si>
  <si>
    <t>课程名称</t>
  </si>
  <si>
    <t>学员姓名</t>
  </si>
  <si>
    <t>上课日期</t>
  </si>
  <si>
    <t>维度1：专项知识/技能掌握（量化评级）</t>
  </si>
  <si>
    <t>维度2：课堂学习习惯&amp;状态（量化评级）</t>
  </si>
  <si>
    <t>本节课核心收获/已掌握项（可多选打√）</t>
  </si>
  <si>
    <t>□ 掌握本节课核心知识点/技能</t>
  </si>
  <si>
    <t>□ 专项题型解题思路完全掌握，能独立讲解</t>
  </si>
  <si>
    <t>□ 完成专项能力突破：________________</t>
  </si>
  <si>
    <t>□ 达到本节课设定的全部学习目标</t>
  </si>
  <si>
    <t>□ 能举一反三，灵活运用所学内容</t>
  </si>
  <si>
    <t>薄弱点/易错点（可多选打√）</t>
  </si>
  <si>
    <t>□ 核心概念理解不透彻，不会运用</t>
  </si>
  <si>
    <t>□ 同类题目反复出错，未掌握核心方法</t>
  </si>
  <si>
    <t>□ 细节把控不到位，高频失分</t>
  </si>
  <si>
    <t>□ 未掌握基础方法，无法独立完成练习</t>
  </si>
  <si>
    <t>□ 对重难点内容完全无思路</t>
  </si>
  <si>
    <t>课堂优秀表现（可多选打√）</t>
  </si>
  <si>
    <t>□ 全程专注，紧跟课堂节奏，主动思考</t>
  </si>
  <si>
    <t>□ 敢于提问，主动表达自己的想法</t>
  </si>
  <si>
    <t>□ 课堂练习执行力强，按时按质完成</t>
  </si>
  <si>
    <t>□ 主动复盘错题，及时纠正问题</t>
  </si>
  <si>
    <t>□ 学习心态积极，遇到难题主动尝试</t>
  </si>
  <si>
    <t>待改进项（可多选打√）</t>
  </si>
  <si>
    <t>□ 课堂专注度不足，频繁走神</t>
  </si>
  <si>
    <t>□ 练习拖沓，无法完成课堂任务</t>
  </si>
  <si>
    <t>□ 对错题不重视，不复盘不纠正</t>
  </si>
  <si>
    <t>□ 遇难题就畏难，直接放弃思考</t>
  </si>
  <si>
    <t>课后巩固任务（标准化选项）</t>
  </si>
  <si>
    <t>□ 完成专项练习：____页/____题</t>
  </si>
  <si>
    <t>□ 复习本节课核心知识点，整理笔记</t>
  </si>
  <si>
    <t>□ 完成打卡任务：________________</t>
  </si>
  <si>
    <t>□ 预习下节课内容：________________</t>
  </si>
  <si>
    <t>下节课针对性备课重点</t>
  </si>
  <si>
    <t>□ 核心知识点二次讲解+专项练习</t>
  </si>
  <si>
    <t>□ 易错题型专项拆解+变式训练</t>
  </si>
  <si>
    <t>□ 学习方法/解题思路专项指导</t>
  </si>
  <si>
    <t>□ 在家督促孩子完成课后巩固任务，及时打卡</t>
  </si>
  <si>
    <t>□ 多鼓励孩子，肯定课堂上的进步</t>
  </si>
  <si>
    <t>□ 引导孩子复盘本节课内容，主动表达收获</t>
  </si>
  <si>
    <t>统计周期</t>
  </si>
  <si>
    <t>月度成长量化轨迹（自动汇总当月每日评级）</t>
  </si>
  <si>
    <t>维度</t>
  </si>
  <si>
    <t>月初评级</t>
  </si>
  <si>
    <t>月末评级</t>
  </si>
  <si>
    <t>成长变化</t>
  </si>
  <si>
    <t>核心成长亮点</t>
  </si>
  <si>
    <t>知识掌握</t>
  </si>
  <si>
    <t>________________________</t>
  </si>
  <si>
    <t>学习习惯</t>
  </si>
  <si>
    <t>心态&amp;内驱力</t>
  </si>
  <si>
    <t>1. 知识掌握维度</t>
  </si>
  <si>
    <t>✅ 当月核心进步</t>
  </si>
  <si>
    <t>校内知识点掌握扎实，作业正确率稳定提升</t>
  </si>
  <si>
    <t>⚠️ 仍存薄弱</t>
  </si>
  <si>
    <t>基础概念仍有混淆，需持续巩固</t>
  </si>
  <si>
    <t>📈 下月知识提升计划</t>
  </si>
  <si>
    <t>1. 学习习惯维度</t>
  </si>
  <si>
    <t>作业计时管理习惯、审题圈画习惯</t>
  </si>
  <si>
    <t>⚠️ 仍存薄弱项</t>
  </si>
  <si>
    <t>作业拖拉问题、书写潦草问题</t>
  </si>
  <si>
    <t>📈 下月习惯训练重点</t>
  </si>
  <si>
    <t>1. 心态&amp;内驱力维度</t>
  </si>
  <si>
    <t>学习主动性提升，从被动催促到主动学习</t>
  </si>
  <si>
    <t>学习专注力仍需提升、畏难情绪仍需引导</t>
  </si>
  <si>
    <t>📈 下月心态引导方向</t>
  </si>
  <si>
    <t>课程规划&amp;升班建议</t>
  </si>
  <si>
    <t>▫️ 晚辅班级：</t>
  </si>
  <si>
    <t>□ 维持当前班级 □ 达到【________】班升班标准，建议升班</t>
  </si>
  <si>
    <t>▫️ 专项课：</t>
  </si>
  <si>
    <t>□ 维持现有课程及难度 □ 建议升级专项课难度 □ 建议新增/更换专项课：________________________</t>
  </si>
  <si>
    <t>📌 老师综合评语：</t>
  </si>
  <si>
    <t>家长阅读反馈：</t>
  </si>
  <si>
    <t>□ 已知悉 □ 有疑问，需当面沟通</t>
  </si>
  <si>
    <t>家长签字：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</si>
</sst>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等线"/>
      <charset val="134"/>
      <scheme val="minor"/>
    </font>
    <font>
      <b/>
      <sz val="11"/>
      <color rgb="FF333333"/>
      <name val="微软雅黑"/>
      <charset val="134"/>
    </font>
    <font>
      <sz val="11"/>
      <color rgb="FF000000"/>
      <name val="Calibri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333333"/>
      <name val="微软雅黑"/>
      <charset val="134"/>
    </font>
    <font>
      <b/>
      <sz val="12"/>
      <color rgb="FF000000"/>
      <name val="微软雅黑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0" fontId="9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5" fillId="37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4" fillId="35" borderId="9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4" fillId="0" borderId="0" xfId="0" applyFont="1" applyAlignment="1"/>
    <xf numFmtId="0" fontId="2" fillId="0" borderId="0" xfId="0" applyFont="1" applyAlignment="1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U89"/>
  <sheetViews>
    <sheetView tabSelected="1" workbookViewId="0">
      <pane ySplit="3" topLeftCell="A4" activePane="bottomLeft" state="frozen"/>
      <selection/>
      <selection pane="bottomLeft" activeCell="A1" sqref="A1:U1"/>
    </sheetView>
  </sheetViews>
  <sheetFormatPr defaultColWidth="8.70967741935484" defaultRowHeight="12.95"/>
  <cols>
    <col min="1" max="1" width="47" customWidth="1"/>
    <col min="2" max="4" width="8" customWidth="1"/>
    <col min="5" max="5" width="12" customWidth="1"/>
    <col min="6" max="6" width="8" customWidth="1"/>
    <col min="7" max="7" width="17" customWidth="1"/>
    <col min="8" max="8" width="37" customWidth="1"/>
    <col min="9" max="10" width="8" customWidth="1"/>
    <col min="11" max="11" width="12" customWidth="1"/>
    <col min="12" max="14" width="8" customWidth="1"/>
    <col min="15" max="15" width="42" customWidth="1"/>
    <col min="16" max="21" width="8" customWidth="1"/>
  </cols>
  <sheetData>
    <row r="1" ht="44" customHeight="1" spans="1:12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</row>
    <row r="2" ht="33" customHeight="1"/>
    <row r="3" ht="17" customHeight="1" spans="1:15">
      <c r="A3" s="14" t="s">
        <v>6</v>
      </c>
      <c r="H3" s="14" t="s">
        <v>7</v>
      </c>
      <c r="O3" s="14" t="s">
        <v>8</v>
      </c>
    </row>
    <row r="4" ht="39" customHeight="1" spans="1:15">
      <c r="A4" s="11" t="s">
        <v>9</v>
      </c>
      <c r="H4" s="11" t="s">
        <v>9</v>
      </c>
      <c r="O4" s="11" t="s">
        <v>9</v>
      </c>
    </row>
    <row r="5" ht="28" customHeight="1"/>
    <row r="6" ht="17" customHeight="1" spans="1:1">
      <c r="A6" s="15" t="s">
        <v>10</v>
      </c>
    </row>
    <row r="7" ht="17" customHeight="1" spans="1:7">
      <c r="A7" s="13" t="s">
        <v>11</v>
      </c>
      <c r="B7" s="13"/>
      <c r="C7" s="13"/>
      <c r="D7" s="13"/>
      <c r="E7" s="13"/>
      <c r="F7" s="13"/>
      <c r="G7" s="13"/>
    </row>
    <row r="8" ht="17" customHeight="1" spans="1:7">
      <c r="A8" s="13" t="s">
        <v>12</v>
      </c>
      <c r="B8" s="13"/>
      <c r="C8" s="13"/>
      <c r="D8" s="13"/>
      <c r="E8" s="13"/>
      <c r="F8" s="13"/>
      <c r="G8" s="13"/>
    </row>
    <row r="9" ht="17" customHeight="1" spans="1:7">
      <c r="A9" s="13" t="s">
        <v>13</v>
      </c>
      <c r="B9" s="13"/>
      <c r="C9" s="13"/>
      <c r="D9" s="13"/>
      <c r="E9" s="13"/>
      <c r="F9" s="13"/>
      <c r="G9" s="13"/>
    </row>
    <row r="10" ht="17" customHeight="1" spans="1:7">
      <c r="A10" s="13" t="s">
        <v>14</v>
      </c>
      <c r="B10" s="13"/>
      <c r="C10" s="13"/>
      <c r="D10" s="13"/>
      <c r="E10" s="13"/>
      <c r="F10" s="13"/>
      <c r="G10" s="13"/>
    </row>
    <row r="11" ht="17" customHeight="1" spans="1:7">
      <c r="A11" s="13" t="s">
        <v>15</v>
      </c>
      <c r="B11" s="13"/>
      <c r="C11" s="13"/>
      <c r="D11" s="13"/>
      <c r="E11" s="13"/>
      <c r="F11" s="13"/>
      <c r="G11" s="13"/>
    </row>
    <row r="12" ht="17" customHeight="1" spans="1:7">
      <c r="A12" s="13" t="s">
        <v>16</v>
      </c>
      <c r="B12" s="13"/>
      <c r="C12" s="13"/>
      <c r="D12" s="13"/>
      <c r="E12" s="13"/>
      <c r="F12" s="13"/>
      <c r="G12" s="13"/>
    </row>
    <row r="13" ht="17" customHeight="1" spans="1:1">
      <c r="A13" s="15" t="s">
        <v>17</v>
      </c>
    </row>
    <row r="14" ht="17" customHeight="1" spans="1:7">
      <c r="A14" s="13" t="s">
        <v>18</v>
      </c>
      <c r="B14" s="13"/>
      <c r="C14" s="13"/>
      <c r="D14" s="13"/>
      <c r="E14" s="13"/>
      <c r="F14" s="13"/>
      <c r="G14" s="13"/>
    </row>
    <row r="15" ht="17" customHeight="1" spans="1:7">
      <c r="A15" s="13" t="s">
        <v>19</v>
      </c>
      <c r="B15" s="13"/>
      <c r="C15" s="13"/>
      <c r="D15" s="13"/>
      <c r="E15" s="13"/>
      <c r="F15" s="13"/>
      <c r="G15" s="13"/>
    </row>
    <row r="16" ht="17" customHeight="1" spans="1:7">
      <c r="A16" s="13" t="s">
        <v>20</v>
      </c>
      <c r="B16" s="13"/>
      <c r="C16" s="13"/>
      <c r="D16" s="13"/>
      <c r="E16" s="13"/>
      <c r="F16" s="13"/>
      <c r="G16" s="13"/>
    </row>
    <row r="17" ht="17" customHeight="1" spans="1:7">
      <c r="A17" s="13" t="s">
        <v>21</v>
      </c>
      <c r="B17" s="13"/>
      <c r="C17" s="13"/>
      <c r="D17" s="13"/>
      <c r="E17" s="13"/>
      <c r="F17" s="13"/>
      <c r="G17" s="13"/>
    </row>
    <row r="18" ht="17" customHeight="1" spans="1:7">
      <c r="A18" s="13" t="s">
        <v>22</v>
      </c>
      <c r="B18" s="13"/>
      <c r="C18" s="13"/>
      <c r="D18" s="13"/>
      <c r="E18" s="13"/>
      <c r="F18" s="13"/>
      <c r="G18" s="13"/>
    </row>
    <row r="19" ht="17" customHeight="1" spans="1:7">
      <c r="A19" s="13" t="s">
        <v>16</v>
      </c>
      <c r="B19" s="13"/>
      <c r="C19" s="13"/>
      <c r="D19" s="13"/>
      <c r="E19" s="13"/>
      <c r="F19" s="13"/>
      <c r="G19" s="13"/>
    </row>
    <row r="20" ht="17" customHeight="1" spans="1:1">
      <c r="A20" s="15" t="s">
        <v>23</v>
      </c>
    </row>
    <row r="21" ht="17" customHeight="1" spans="1:7">
      <c r="A21" s="13" t="s">
        <v>24</v>
      </c>
      <c r="B21" s="13"/>
      <c r="C21" s="13"/>
      <c r="D21" s="13"/>
      <c r="E21" s="13"/>
      <c r="F21" s="13"/>
      <c r="G21" s="13"/>
    </row>
    <row r="22" ht="17" customHeight="1" spans="1:7">
      <c r="A22" s="13" t="s">
        <v>25</v>
      </c>
      <c r="B22" s="13"/>
      <c r="C22" s="13"/>
      <c r="D22" s="13"/>
      <c r="E22" s="13"/>
      <c r="F22" s="13"/>
      <c r="G22" s="13"/>
    </row>
    <row r="23" ht="17" customHeight="1" spans="1:7">
      <c r="A23" s="13" t="s">
        <v>26</v>
      </c>
      <c r="B23" s="13"/>
      <c r="C23" s="13"/>
      <c r="D23" s="13"/>
      <c r="E23" s="13"/>
      <c r="F23" s="13"/>
      <c r="G23" s="13"/>
    </row>
    <row r="24" ht="17" customHeight="1" spans="1:7">
      <c r="A24" s="13" t="s">
        <v>27</v>
      </c>
      <c r="B24" s="13"/>
      <c r="C24" s="13"/>
      <c r="D24" s="13"/>
      <c r="E24" s="13"/>
      <c r="F24" s="13"/>
      <c r="G24" s="13"/>
    </row>
    <row r="25" ht="17" customHeight="1" spans="1:7">
      <c r="A25" s="13" t="s">
        <v>28</v>
      </c>
      <c r="B25" s="13"/>
      <c r="C25" s="13"/>
      <c r="D25" s="13"/>
      <c r="E25" s="13"/>
      <c r="F25" s="13"/>
      <c r="G25" s="13"/>
    </row>
    <row r="26" ht="17" customHeight="1" spans="1:7">
      <c r="A26" s="13" t="s">
        <v>16</v>
      </c>
      <c r="B26" s="13"/>
      <c r="C26" s="13"/>
      <c r="D26" s="13"/>
      <c r="E26" s="13"/>
      <c r="F26" s="13"/>
      <c r="G26" s="13"/>
    </row>
    <row r="27" ht="17" customHeight="1" spans="8:8">
      <c r="H27" s="15" t="s">
        <v>29</v>
      </c>
    </row>
    <row r="28" ht="17" customHeight="1" spans="8:14">
      <c r="H28" s="13" t="s">
        <v>30</v>
      </c>
      <c r="I28" s="13"/>
      <c r="J28" s="13"/>
      <c r="K28" s="13"/>
      <c r="L28" s="13"/>
      <c r="M28" s="13"/>
      <c r="N28" s="13"/>
    </row>
    <row r="29" ht="17" customHeight="1" spans="8:14">
      <c r="H29" s="13" t="s">
        <v>31</v>
      </c>
      <c r="I29" s="13"/>
      <c r="J29" s="13"/>
      <c r="K29" s="13"/>
      <c r="L29" s="13"/>
      <c r="M29" s="13"/>
      <c r="N29" s="13"/>
    </row>
    <row r="30" ht="17" customHeight="1" spans="8:14">
      <c r="H30" s="13" t="s">
        <v>32</v>
      </c>
      <c r="I30" s="13"/>
      <c r="J30" s="13"/>
      <c r="K30" s="13"/>
      <c r="L30" s="13"/>
      <c r="M30" s="13"/>
      <c r="N30" s="13"/>
    </row>
    <row r="31" ht="17" customHeight="1" spans="8:14">
      <c r="H31" s="13" t="s">
        <v>33</v>
      </c>
      <c r="I31" s="13"/>
      <c r="J31" s="13"/>
      <c r="K31" s="13"/>
      <c r="L31" s="13"/>
      <c r="M31" s="13"/>
      <c r="N31" s="13"/>
    </row>
    <row r="32" ht="17" customHeight="1" spans="8:14">
      <c r="H32" s="13" t="s">
        <v>34</v>
      </c>
      <c r="I32" s="13"/>
      <c r="J32" s="13"/>
      <c r="K32" s="13"/>
      <c r="L32" s="13"/>
      <c r="M32" s="13"/>
      <c r="N32" s="13"/>
    </row>
    <row r="33" ht="17" customHeight="1" spans="8:14">
      <c r="H33" s="13" t="s">
        <v>35</v>
      </c>
      <c r="I33" s="13"/>
      <c r="J33" s="13"/>
      <c r="K33" s="13"/>
      <c r="L33" s="13"/>
      <c r="M33" s="13"/>
      <c r="N33" s="13"/>
    </row>
    <row r="34" ht="17" customHeight="1" spans="8:14">
      <c r="H34" s="13" t="s">
        <v>16</v>
      </c>
      <c r="I34" s="13"/>
      <c r="J34" s="13"/>
      <c r="K34" s="13"/>
      <c r="L34" s="13"/>
      <c r="M34" s="13"/>
      <c r="N34" s="13"/>
    </row>
    <row r="35" ht="17" customHeight="1" spans="8:8">
      <c r="H35" s="15" t="s">
        <v>36</v>
      </c>
    </row>
    <row r="36" ht="17" customHeight="1" spans="8:14">
      <c r="H36" s="13" t="s">
        <v>37</v>
      </c>
      <c r="I36" s="13"/>
      <c r="J36" s="13"/>
      <c r="K36" s="13"/>
      <c r="L36" s="13"/>
      <c r="M36" s="13"/>
      <c r="N36" s="13"/>
    </row>
    <row r="37" ht="17" customHeight="1" spans="8:14">
      <c r="H37" s="13" t="s">
        <v>38</v>
      </c>
      <c r="I37" s="13"/>
      <c r="J37" s="13"/>
      <c r="K37" s="13"/>
      <c r="L37" s="13"/>
      <c r="M37" s="13"/>
      <c r="N37" s="13"/>
    </row>
    <row r="38" ht="17" customHeight="1" spans="8:14">
      <c r="H38" s="13" t="s">
        <v>39</v>
      </c>
      <c r="I38" s="13"/>
      <c r="J38" s="13"/>
      <c r="K38" s="13"/>
      <c r="L38" s="13"/>
      <c r="M38" s="13"/>
      <c r="N38" s="13"/>
    </row>
    <row r="39" ht="17" customHeight="1" spans="8:14">
      <c r="H39" s="13" t="s">
        <v>40</v>
      </c>
      <c r="I39" s="13"/>
      <c r="J39" s="13"/>
      <c r="K39" s="13"/>
      <c r="L39" s="13"/>
      <c r="M39" s="13"/>
      <c r="N39" s="13"/>
    </row>
    <row r="40" ht="17" customHeight="1" spans="8:14">
      <c r="H40" s="13" t="s">
        <v>41</v>
      </c>
      <c r="I40" s="13"/>
      <c r="J40" s="13"/>
      <c r="K40" s="13"/>
      <c r="L40" s="13"/>
      <c r="M40" s="13"/>
      <c r="N40" s="13"/>
    </row>
    <row r="41" ht="17" customHeight="1" spans="8:14">
      <c r="H41" s="13" t="s">
        <v>42</v>
      </c>
      <c r="I41" s="13"/>
      <c r="J41" s="13"/>
      <c r="K41" s="13"/>
      <c r="L41" s="13"/>
      <c r="M41" s="13"/>
      <c r="N41" s="13"/>
    </row>
    <row r="42" ht="17" customHeight="1" spans="8:14">
      <c r="H42" s="13" t="s">
        <v>16</v>
      </c>
      <c r="I42" s="13"/>
      <c r="J42" s="13"/>
      <c r="K42" s="13"/>
      <c r="L42" s="13"/>
      <c r="M42" s="13"/>
      <c r="N42" s="13"/>
    </row>
    <row r="43" ht="17" customHeight="1" spans="8:8">
      <c r="H43" s="15" t="s">
        <v>43</v>
      </c>
    </row>
    <row r="44" ht="17" customHeight="1" spans="8:14">
      <c r="H44" s="13" t="s">
        <v>44</v>
      </c>
      <c r="I44" s="13"/>
      <c r="J44" s="13"/>
      <c r="K44" s="13"/>
      <c r="L44" s="13"/>
      <c r="M44" s="13"/>
      <c r="N44" s="13"/>
    </row>
    <row r="45" ht="17" customHeight="1" spans="8:14">
      <c r="H45" s="13" t="s">
        <v>45</v>
      </c>
      <c r="I45" s="13"/>
      <c r="J45" s="13"/>
      <c r="K45" s="13"/>
      <c r="L45" s="13"/>
      <c r="M45" s="13"/>
      <c r="N45" s="13"/>
    </row>
    <row r="46" ht="17" customHeight="1" spans="8:14">
      <c r="H46" s="13" t="s">
        <v>46</v>
      </c>
      <c r="I46" s="13"/>
      <c r="J46" s="13"/>
      <c r="K46" s="13"/>
      <c r="L46" s="13"/>
      <c r="M46" s="13"/>
      <c r="N46" s="13"/>
    </row>
    <row r="47" ht="17" customHeight="1" spans="8:14">
      <c r="H47" s="13" t="s">
        <v>47</v>
      </c>
      <c r="I47" s="13"/>
      <c r="J47" s="13"/>
      <c r="K47" s="13"/>
      <c r="L47" s="13"/>
      <c r="M47" s="13"/>
      <c r="N47" s="13"/>
    </row>
    <row r="48" ht="17" customHeight="1" spans="8:14">
      <c r="H48" s="13" t="s">
        <v>48</v>
      </c>
      <c r="I48" s="13"/>
      <c r="J48" s="13"/>
      <c r="K48" s="13"/>
      <c r="L48" s="13"/>
      <c r="M48" s="13"/>
      <c r="N48" s="13"/>
    </row>
    <row r="49" ht="17" customHeight="1" spans="8:14">
      <c r="H49" s="13" t="s">
        <v>49</v>
      </c>
      <c r="I49" s="13"/>
      <c r="J49" s="13"/>
      <c r="K49" s="13"/>
      <c r="L49" s="13"/>
      <c r="M49" s="13"/>
      <c r="N49" s="13"/>
    </row>
    <row r="50" ht="17" customHeight="1" spans="8:14">
      <c r="H50" s="13" t="s">
        <v>16</v>
      </c>
      <c r="I50" s="13"/>
      <c r="J50" s="13"/>
      <c r="K50" s="13"/>
      <c r="L50" s="13"/>
      <c r="M50" s="13"/>
      <c r="N50" s="13"/>
    </row>
    <row r="51" ht="17" customHeight="1" spans="15:15">
      <c r="O51" s="15" t="s">
        <v>50</v>
      </c>
    </row>
    <row r="52" ht="17" customHeight="1" spans="15:21">
      <c r="O52" s="13" t="s">
        <v>51</v>
      </c>
      <c r="P52" s="13"/>
      <c r="Q52" s="13"/>
      <c r="R52" s="13"/>
      <c r="S52" s="13"/>
      <c r="T52" s="13"/>
      <c r="U52" s="13"/>
    </row>
    <row r="53" ht="17" customHeight="1" spans="15:21">
      <c r="O53" s="13" t="s">
        <v>52</v>
      </c>
      <c r="P53" s="13"/>
      <c r="Q53" s="13"/>
      <c r="R53" s="13"/>
      <c r="S53" s="13"/>
      <c r="T53" s="13"/>
      <c r="U53" s="13"/>
    </row>
    <row r="54" ht="17" customHeight="1" spans="15:21">
      <c r="O54" s="13" t="s">
        <v>53</v>
      </c>
      <c r="P54" s="13"/>
      <c r="Q54" s="13"/>
      <c r="R54" s="13"/>
      <c r="S54" s="13"/>
      <c r="T54" s="13"/>
      <c r="U54" s="13"/>
    </row>
    <row r="55" ht="17" customHeight="1" spans="15:21">
      <c r="O55" s="13" t="s">
        <v>54</v>
      </c>
      <c r="P55" s="13"/>
      <c r="Q55" s="13"/>
      <c r="R55" s="13"/>
      <c r="S55" s="13"/>
      <c r="T55" s="13"/>
      <c r="U55" s="13"/>
    </row>
    <row r="56" ht="17" customHeight="1" spans="15:21">
      <c r="O56" s="13" t="s">
        <v>55</v>
      </c>
      <c r="P56" s="13"/>
      <c r="Q56" s="13"/>
      <c r="R56" s="13"/>
      <c r="S56" s="13"/>
      <c r="T56" s="13"/>
      <c r="U56" s="13"/>
    </row>
    <row r="57" ht="17" customHeight="1" spans="15:21">
      <c r="O57" s="13" t="s">
        <v>16</v>
      </c>
      <c r="P57" s="13"/>
      <c r="Q57" s="13"/>
      <c r="R57" s="13"/>
      <c r="S57" s="13"/>
      <c r="T57" s="13"/>
      <c r="U57" s="13"/>
    </row>
    <row r="58" ht="17" customHeight="1" spans="15:15">
      <c r="O58" s="15" t="s">
        <v>56</v>
      </c>
    </row>
    <row r="59" ht="17" customHeight="1" spans="15:21">
      <c r="O59" s="13" t="s">
        <v>57</v>
      </c>
      <c r="P59" s="13"/>
      <c r="Q59" s="13"/>
      <c r="R59" s="13"/>
      <c r="S59" s="13"/>
      <c r="T59" s="13"/>
      <c r="U59" s="13"/>
    </row>
    <row r="60" ht="17" customHeight="1" spans="15:21">
      <c r="O60" s="13" t="s">
        <v>58</v>
      </c>
      <c r="P60" s="13"/>
      <c r="Q60" s="13"/>
      <c r="R60" s="13"/>
      <c r="S60" s="13"/>
      <c r="T60" s="13"/>
      <c r="U60" s="13"/>
    </row>
    <row r="61" ht="17" customHeight="1" spans="15:21">
      <c r="O61" s="13" t="s">
        <v>59</v>
      </c>
      <c r="P61" s="13"/>
      <c r="Q61" s="13"/>
      <c r="R61" s="13"/>
      <c r="S61" s="13"/>
      <c r="T61" s="13"/>
      <c r="U61" s="13"/>
    </row>
    <row r="62" ht="17" customHeight="1" spans="15:21">
      <c r="O62" s="13" t="s">
        <v>60</v>
      </c>
      <c r="P62" s="13"/>
      <c r="Q62" s="13"/>
      <c r="R62" s="13"/>
      <c r="S62" s="13"/>
      <c r="T62" s="13"/>
      <c r="U62" s="13"/>
    </row>
    <row r="63" ht="17" customHeight="1" spans="15:21">
      <c r="O63" s="13" t="s">
        <v>61</v>
      </c>
      <c r="P63" s="13"/>
      <c r="Q63" s="13"/>
      <c r="R63" s="13"/>
      <c r="S63" s="13"/>
      <c r="T63" s="13"/>
      <c r="U63" s="13"/>
    </row>
    <row r="64" ht="17" customHeight="1" spans="15:21">
      <c r="O64" s="13" t="s">
        <v>16</v>
      </c>
      <c r="P64" s="13"/>
      <c r="Q64" s="13"/>
      <c r="R64" s="13"/>
      <c r="S64" s="13"/>
      <c r="T64" s="13"/>
      <c r="U64" s="13"/>
    </row>
    <row r="65" ht="17" customHeight="1" spans="15:15">
      <c r="O65" s="15" t="s">
        <v>62</v>
      </c>
    </row>
    <row r="66" ht="17" customHeight="1" spans="15:21">
      <c r="O66" s="13" t="s">
        <v>63</v>
      </c>
      <c r="P66" s="13"/>
      <c r="Q66" s="13"/>
      <c r="R66" s="13"/>
      <c r="S66" s="13"/>
      <c r="T66" s="13"/>
      <c r="U66" s="13"/>
    </row>
    <row r="67" ht="17" customHeight="1" spans="15:21">
      <c r="O67" s="13" t="s">
        <v>64</v>
      </c>
      <c r="P67" s="13"/>
      <c r="Q67" s="13"/>
      <c r="R67" s="13"/>
      <c r="S67" s="13"/>
      <c r="T67" s="13"/>
      <c r="U67" s="13"/>
    </row>
    <row r="68" ht="17" customHeight="1" spans="15:21">
      <c r="O68" s="13" t="s">
        <v>65</v>
      </c>
      <c r="P68" s="13"/>
      <c r="Q68" s="13"/>
      <c r="R68" s="13"/>
      <c r="S68" s="13"/>
      <c r="T68" s="13"/>
      <c r="U68" s="13"/>
    </row>
    <row r="69" ht="17" customHeight="1" spans="15:21">
      <c r="O69" s="13" t="s">
        <v>66</v>
      </c>
      <c r="P69" s="13"/>
      <c r="Q69" s="13"/>
      <c r="R69" s="13"/>
      <c r="S69" s="13"/>
      <c r="T69" s="13"/>
      <c r="U69" s="13"/>
    </row>
    <row r="70" ht="17" customHeight="1" spans="15:21">
      <c r="O70" s="13" t="s">
        <v>67</v>
      </c>
      <c r="P70" s="13"/>
      <c r="Q70" s="13"/>
      <c r="R70" s="13"/>
      <c r="S70" s="13"/>
      <c r="T70" s="13"/>
      <c r="U70" s="13"/>
    </row>
    <row r="71" ht="17" customHeight="1" spans="15:21">
      <c r="O71" s="13" t="s">
        <v>16</v>
      </c>
      <c r="P71" s="13"/>
      <c r="Q71" s="13"/>
      <c r="R71" s="13"/>
      <c r="S71" s="13"/>
      <c r="T71" s="13"/>
      <c r="U71" s="13"/>
    </row>
    <row r="72" ht="17" customHeight="1" spans="1:1">
      <c r="A72" s="14" t="s">
        <v>68</v>
      </c>
    </row>
    <row r="73" ht="39" customHeight="1" spans="1:1">
      <c r="A73" s="15" t="s">
        <v>69</v>
      </c>
    </row>
    <row r="74" ht="17" customHeight="1" spans="1:7">
      <c r="A74" s="13" t="s">
        <v>70</v>
      </c>
      <c r="B74" s="13"/>
      <c r="C74" s="13"/>
      <c r="D74" s="13"/>
      <c r="E74" s="13"/>
      <c r="F74" s="13"/>
      <c r="G74" s="13"/>
    </row>
    <row r="75" ht="17" customHeight="1" spans="1:7">
      <c r="A75" s="13" t="s">
        <v>71</v>
      </c>
      <c r="B75" s="13"/>
      <c r="C75" s="13"/>
      <c r="D75" s="13"/>
      <c r="E75" s="13"/>
      <c r="F75" s="13"/>
      <c r="G75" s="13"/>
    </row>
    <row r="76" ht="17" customHeight="1" spans="1:7">
      <c r="A76" s="13" t="s">
        <v>72</v>
      </c>
      <c r="B76" s="13"/>
      <c r="C76" s="13"/>
      <c r="D76" s="13"/>
      <c r="E76" s="13"/>
      <c r="F76" s="13"/>
      <c r="G76" s="13"/>
    </row>
    <row r="77" ht="17" customHeight="1" spans="1:7">
      <c r="A77" s="13" t="s">
        <v>73</v>
      </c>
      <c r="B77" s="13"/>
      <c r="C77" s="13"/>
      <c r="D77" s="13"/>
      <c r="E77" s="13"/>
      <c r="F77" s="13"/>
      <c r="G77" s="13"/>
    </row>
    <row r="78" ht="17" customHeight="1" spans="1:7">
      <c r="A78" s="13" t="s">
        <v>74</v>
      </c>
      <c r="B78" s="13"/>
      <c r="C78" s="13"/>
      <c r="D78" s="13"/>
      <c r="E78" s="13"/>
      <c r="F78" s="13"/>
      <c r="G78" s="13"/>
    </row>
    <row r="79" ht="17" customHeight="1" spans="1:1">
      <c r="A79" s="15" t="s">
        <v>75</v>
      </c>
    </row>
    <row r="80" ht="17" customHeight="1" spans="1:7">
      <c r="A80" s="13" t="s">
        <v>76</v>
      </c>
      <c r="B80" s="13"/>
      <c r="C80" s="13"/>
      <c r="D80" s="13"/>
      <c r="E80" s="13"/>
      <c r="F80" s="13"/>
      <c r="G80" s="13"/>
    </row>
    <row r="81" ht="17" customHeight="1" spans="1:7">
      <c r="A81" s="13" t="s">
        <v>77</v>
      </c>
      <c r="B81" s="13"/>
      <c r="C81" s="13"/>
      <c r="D81" s="13"/>
      <c r="E81" s="13"/>
      <c r="F81" s="13"/>
      <c r="G81" s="13"/>
    </row>
    <row r="82" ht="17" customHeight="1" spans="1:7">
      <c r="A82" s="13" t="s">
        <v>78</v>
      </c>
      <c r="B82" s="13"/>
      <c r="C82" s="13"/>
      <c r="D82" s="13"/>
      <c r="E82" s="13"/>
      <c r="F82" s="13"/>
      <c r="G82" s="13"/>
    </row>
    <row r="83" ht="17" customHeight="1" spans="1:1">
      <c r="A83" s="15" t="s">
        <v>79</v>
      </c>
    </row>
    <row r="84" ht="17" customHeight="1" spans="1:7">
      <c r="A84" s="13" t="s">
        <v>80</v>
      </c>
      <c r="B84" s="13"/>
      <c r="C84" s="13"/>
      <c r="D84" s="13"/>
      <c r="E84" s="13"/>
      <c r="F84" s="13"/>
      <c r="G84" s="13"/>
    </row>
    <row r="85" ht="17" customHeight="1" spans="1:7">
      <c r="A85" s="13" t="s">
        <v>81</v>
      </c>
      <c r="B85" s="13"/>
      <c r="C85" s="13"/>
      <c r="D85" s="13"/>
      <c r="E85" s="13"/>
      <c r="F85" s="13"/>
      <c r="G85" s="13"/>
    </row>
    <row r="86" ht="17" customHeight="1" spans="1:7">
      <c r="A86" s="13" t="s">
        <v>82</v>
      </c>
      <c r="B86" s="13"/>
      <c r="C86" s="13"/>
      <c r="D86" s="13"/>
      <c r="E86" s="13"/>
      <c r="F86" s="13"/>
      <c r="G86" s="13"/>
    </row>
    <row r="87" ht="17" customHeight="1" spans="1:7">
      <c r="A87" s="13" t="s">
        <v>83</v>
      </c>
      <c r="B87" s="13"/>
      <c r="C87" s="13"/>
      <c r="D87" s="13"/>
      <c r="E87" s="13"/>
      <c r="F87" s="13"/>
      <c r="G87" s="13"/>
    </row>
    <row r="88" ht="17" customHeight="1" spans="1:15">
      <c r="A88" s="9" t="s">
        <v>84</v>
      </c>
      <c r="O88" s="9" t="s">
        <v>85</v>
      </c>
    </row>
    <row r="89" ht="33" customHeight="1"/>
  </sheetData>
  <mergeCells count="26">
    <mergeCell ref="A3:G3"/>
    <mergeCell ref="H3:N3"/>
    <mergeCell ref="O3:U3"/>
    <mergeCell ref="A4:D4"/>
    <mergeCell ref="E4:G4"/>
    <mergeCell ref="H4:K4"/>
    <mergeCell ref="L4:N4"/>
    <mergeCell ref="O4:R4"/>
    <mergeCell ref="S4:U4"/>
    <mergeCell ref="A6:G6"/>
    <mergeCell ref="A13:G13"/>
    <mergeCell ref="A20:G20"/>
    <mergeCell ref="H27:N27"/>
    <mergeCell ref="H35:N35"/>
    <mergeCell ref="H43:N43"/>
    <mergeCell ref="O51:U51"/>
    <mergeCell ref="O58:U58"/>
    <mergeCell ref="O65:U65"/>
    <mergeCell ref="A72:U72"/>
    <mergeCell ref="A73:G73"/>
    <mergeCell ref="A79:G79"/>
    <mergeCell ref="A83:G83"/>
    <mergeCell ref="A88:J88"/>
    <mergeCell ref="K88:N88"/>
    <mergeCell ref="O88:P88"/>
    <mergeCell ref="Q88:U88"/>
  </mergeCells>
  <dataValidations count="1">
    <dataValidation type="list" allowBlank="1" showErrorMessage="1" sqref="E4 L4 S4">
      <formula1>"E优秀,G良好,P待提升,N需关注"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T51"/>
  <sheetViews>
    <sheetView workbookViewId="0">
      <pane ySplit="3" topLeftCell="A4" activePane="bottomLeft" state="frozen"/>
      <selection/>
      <selection pane="bottomLeft" activeCell="A1" sqref="A1:T1"/>
    </sheetView>
  </sheetViews>
  <sheetFormatPr defaultColWidth="8.70967741935484" defaultRowHeight="12.95"/>
  <cols>
    <col min="1" max="1" width="49" customWidth="1"/>
    <col min="2" max="2" width="8" customWidth="1"/>
    <col min="3" max="3" width="17" customWidth="1"/>
    <col min="4" max="4" width="8" customWidth="1"/>
    <col min="5" max="5" width="12" customWidth="1"/>
    <col min="6" max="6" width="8" customWidth="1"/>
    <col min="7" max="7" width="12" customWidth="1"/>
    <col min="8" max="8" width="8" customWidth="1"/>
    <col min="9" max="9" width="12" customWidth="1"/>
    <col min="10" max="10" width="8" customWidth="1"/>
    <col min="11" max="11" width="44" customWidth="1"/>
    <col min="12" max="14" width="8" customWidth="1"/>
    <col min="15" max="15" width="20" customWidth="1"/>
    <col min="16" max="20" width="8" customWidth="1"/>
  </cols>
  <sheetData>
    <row r="1" ht="44" customHeight="1" spans="1:10">
      <c r="A1" s="1" t="s">
        <v>86</v>
      </c>
      <c r="B1" s="2"/>
      <c r="C1" s="1" t="s">
        <v>3</v>
      </c>
      <c r="D1" s="2"/>
      <c r="E1" s="1" t="s">
        <v>87</v>
      </c>
      <c r="F1" s="2"/>
      <c r="G1" s="1" t="s">
        <v>88</v>
      </c>
      <c r="H1" s="2"/>
      <c r="I1" s="1" t="s">
        <v>5</v>
      </c>
      <c r="J1" s="2"/>
    </row>
    <row r="2" ht="33" customHeight="1"/>
    <row r="3" ht="17" customHeight="1" spans="1:11">
      <c r="A3" s="10" t="s">
        <v>89</v>
      </c>
      <c r="K3" s="10" t="s">
        <v>90</v>
      </c>
    </row>
    <row r="4" ht="39" customHeight="1" spans="1:11">
      <c r="A4" s="11" t="s">
        <v>9</v>
      </c>
      <c r="K4" s="11" t="s">
        <v>9</v>
      </c>
    </row>
    <row r="5" ht="28" customHeight="1"/>
    <row r="6" ht="17" customHeight="1" spans="1:1">
      <c r="A6" s="12" t="s">
        <v>91</v>
      </c>
    </row>
    <row r="7" ht="17" customHeight="1" spans="1:10">
      <c r="A7" s="13" t="s">
        <v>92</v>
      </c>
      <c r="B7" s="13"/>
      <c r="C7" s="13"/>
      <c r="D7" s="13"/>
      <c r="E7" s="13"/>
      <c r="F7" s="13"/>
      <c r="G7" s="13"/>
      <c r="H7" s="13"/>
      <c r="I7" s="13"/>
      <c r="J7" s="13"/>
    </row>
    <row r="8" ht="17" customHeight="1" spans="1:10">
      <c r="A8" s="13" t="s">
        <v>93</v>
      </c>
      <c r="B8" s="13"/>
      <c r="C8" s="13"/>
      <c r="D8" s="13"/>
      <c r="E8" s="13"/>
      <c r="F8" s="13"/>
      <c r="G8" s="13"/>
      <c r="H8" s="13"/>
      <c r="I8" s="13"/>
      <c r="J8" s="13"/>
    </row>
    <row r="9" ht="17" customHeight="1" spans="1:10">
      <c r="A9" s="13" t="s">
        <v>94</v>
      </c>
      <c r="B9" s="13"/>
      <c r="C9" s="13"/>
      <c r="D9" s="13"/>
      <c r="E9" s="13"/>
      <c r="F9" s="13"/>
      <c r="G9" s="13"/>
      <c r="H9" s="13"/>
      <c r="I9" s="13"/>
      <c r="J9" s="13"/>
    </row>
    <row r="10" ht="17" customHeight="1" spans="1:10">
      <c r="A10" s="13" t="s">
        <v>95</v>
      </c>
      <c r="B10" s="13"/>
      <c r="C10" s="13"/>
      <c r="D10" s="13"/>
      <c r="E10" s="13"/>
      <c r="F10" s="13"/>
      <c r="G10" s="13"/>
      <c r="H10" s="13"/>
      <c r="I10" s="13"/>
      <c r="J10" s="13"/>
    </row>
    <row r="11" ht="17" customHeight="1" spans="1:10">
      <c r="A11" s="13" t="s">
        <v>96</v>
      </c>
      <c r="B11" s="13"/>
      <c r="C11" s="13"/>
      <c r="D11" s="13"/>
      <c r="E11" s="13"/>
      <c r="F11" s="13"/>
      <c r="G11" s="13"/>
      <c r="H11" s="13"/>
      <c r="I11" s="13"/>
      <c r="J11" s="13"/>
    </row>
    <row r="12" ht="17" customHeight="1" spans="1:10">
      <c r="A12" s="13" t="s">
        <v>16</v>
      </c>
      <c r="B12" s="13"/>
      <c r="C12" s="13"/>
      <c r="D12" s="13"/>
      <c r="E12" s="13"/>
      <c r="F12" s="13"/>
      <c r="G12" s="13"/>
      <c r="H12" s="13"/>
      <c r="I12" s="13"/>
      <c r="J12" s="13"/>
    </row>
    <row r="13" ht="17" customHeight="1" spans="1:1">
      <c r="A13" s="12" t="s">
        <v>97</v>
      </c>
    </row>
    <row r="14" ht="17" customHeight="1" spans="1:10">
      <c r="A14" s="13" t="s">
        <v>98</v>
      </c>
      <c r="B14" s="13"/>
      <c r="C14" s="13"/>
      <c r="D14" s="13"/>
      <c r="E14" s="13"/>
      <c r="F14" s="13"/>
      <c r="G14" s="13"/>
      <c r="H14" s="13"/>
      <c r="I14" s="13"/>
      <c r="J14" s="13"/>
    </row>
    <row r="15" ht="17" customHeight="1" spans="1:10">
      <c r="A15" s="13" t="s">
        <v>99</v>
      </c>
      <c r="B15" s="13"/>
      <c r="C15" s="13"/>
      <c r="D15" s="13"/>
      <c r="E15" s="13"/>
      <c r="F15" s="13"/>
      <c r="G15" s="13"/>
      <c r="H15" s="13"/>
      <c r="I15" s="13"/>
      <c r="J15" s="13"/>
    </row>
    <row r="16" ht="17" customHeight="1" spans="1:10">
      <c r="A16" s="13" t="s">
        <v>100</v>
      </c>
      <c r="B16" s="13"/>
      <c r="C16" s="13"/>
      <c r="D16" s="13"/>
      <c r="E16" s="13"/>
      <c r="F16" s="13"/>
      <c r="G16" s="13"/>
      <c r="H16" s="13"/>
      <c r="I16" s="13"/>
      <c r="J16" s="13"/>
    </row>
    <row r="17" ht="17" customHeight="1" spans="1:10">
      <c r="A17" s="13" t="s">
        <v>101</v>
      </c>
      <c r="B17" s="13"/>
      <c r="C17" s="13"/>
      <c r="D17" s="13"/>
      <c r="E17" s="13"/>
      <c r="F17" s="13"/>
      <c r="G17" s="13"/>
      <c r="H17" s="13"/>
      <c r="I17" s="13"/>
      <c r="J17" s="13"/>
    </row>
    <row r="18" ht="17" customHeight="1" spans="1:10">
      <c r="A18" s="13" t="s">
        <v>102</v>
      </c>
      <c r="B18" s="13"/>
      <c r="C18" s="13"/>
      <c r="D18" s="13"/>
      <c r="E18" s="13"/>
      <c r="F18" s="13"/>
      <c r="G18" s="13"/>
      <c r="H18" s="13"/>
      <c r="I18" s="13"/>
      <c r="J18" s="13"/>
    </row>
    <row r="19" ht="17" customHeight="1" spans="1:10">
      <c r="A19" s="13" t="s">
        <v>16</v>
      </c>
      <c r="B19" s="13"/>
      <c r="C19" s="13"/>
      <c r="D19" s="13"/>
      <c r="E19" s="13"/>
      <c r="F19" s="13"/>
      <c r="G19" s="13"/>
      <c r="H19" s="13"/>
      <c r="I19" s="13"/>
      <c r="J19" s="13"/>
    </row>
    <row r="20" ht="17" customHeight="1" spans="11:11">
      <c r="K20" s="12" t="s">
        <v>103</v>
      </c>
    </row>
    <row r="21" ht="17" customHeight="1" spans="11:20">
      <c r="K21" s="13" t="s">
        <v>104</v>
      </c>
      <c r="L21" s="13"/>
      <c r="M21" s="13"/>
      <c r="N21" s="13"/>
      <c r="O21" s="13"/>
      <c r="P21" s="13"/>
      <c r="Q21" s="13"/>
      <c r="R21" s="13"/>
      <c r="S21" s="13"/>
      <c r="T21" s="13"/>
    </row>
    <row r="22" ht="17" customHeight="1" spans="11:20">
      <c r="K22" s="13" t="s">
        <v>105</v>
      </c>
      <c r="L22" s="13"/>
      <c r="M22" s="13"/>
      <c r="N22" s="13"/>
      <c r="O22" s="13"/>
      <c r="P22" s="13"/>
      <c r="Q22" s="13"/>
      <c r="R22" s="13"/>
      <c r="S22" s="13"/>
      <c r="T22" s="13"/>
    </row>
    <row r="23" ht="17" customHeight="1" spans="11:20">
      <c r="K23" s="13" t="s">
        <v>106</v>
      </c>
      <c r="L23" s="13"/>
      <c r="M23" s="13"/>
      <c r="N23" s="13"/>
      <c r="O23" s="13"/>
      <c r="P23" s="13"/>
      <c r="Q23" s="13"/>
      <c r="R23" s="13"/>
      <c r="S23" s="13"/>
      <c r="T23" s="13"/>
    </row>
    <row r="24" ht="17" customHeight="1" spans="11:20">
      <c r="K24" s="13" t="s">
        <v>107</v>
      </c>
      <c r="L24" s="13"/>
      <c r="M24" s="13"/>
      <c r="N24" s="13"/>
      <c r="O24" s="13"/>
      <c r="P24" s="13"/>
      <c r="Q24" s="13"/>
      <c r="R24" s="13"/>
      <c r="S24" s="13"/>
      <c r="T24" s="13"/>
    </row>
    <row r="25" ht="17" customHeight="1" spans="11:20">
      <c r="K25" s="13" t="s">
        <v>108</v>
      </c>
      <c r="L25" s="13"/>
      <c r="M25" s="13"/>
      <c r="N25" s="13"/>
      <c r="O25" s="13"/>
      <c r="P25" s="13"/>
      <c r="Q25" s="13"/>
      <c r="R25" s="13"/>
      <c r="S25" s="13"/>
      <c r="T25" s="13"/>
    </row>
    <row r="26" ht="17" customHeight="1" spans="11:20">
      <c r="K26" s="13" t="s">
        <v>16</v>
      </c>
      <c r="L26" s="13"/>
      <c r="M26" s="13"/>
      <c r="N26" s="13"/>
      <c r="O26" s="13"/>
      <c r="P26" s="13"/>
      <c r="Q26" s="13"/>
      <c r="R26" s="13"/>
      <c r="S26" s="13"/>
      <c r="T26" s="13"/>
    </row>
    <row r="27" ht="17" customHeight="1" spans="11:11">
      <c r="K27" s="12" t="s">
        <v>109</v>
      </c>
    </row>
    <row r="28" ht="17" customHeight="1" spans="11:20">
      <c r="K28" s="13" t="s">
        <v>110</v>
      </c>
      <c r="L28" s="13"/>
      <c r="M28" s="13"/>
      <c r="N28" s="13"/>
      <c r="O28" s="13"/>
      <c r="P28" s="13"/>
      <c r="Q28" s="13"/>
      <c r="R28" s="13"/>
      <c r="S28" s="13"/>
      <c r="T28" s="13"/>
    </row>
    <row r="29" ht="17" customHeight="1" spans="11:20">
      <c r="K29" s="13" t="s">
        <v>59</v>
      </c>
      <c r="L29" s="13"/>
      <c r="M29" s="13"/>
      <c r="N29" s="13"/>
      <c r="O29" s="13"/>
      <c r="P29" s="13"/>
      <c r="Q29" s="13"/>
      <c r="R29" s="13"/>
      <c r="S29" s="13"/>
      <c r="T29" s="13"/>
    </row>
    <row r="30" ht="17" customHeight="1" spans="11:20">
      <c r="K30" s="13" t="s">
        <v>111</v>
      </c>
      <c r="L30" s="13"/>
      <c r="M30" s="13"/>
      <c r="N30" s="13"/>
      <c r="O30" s="13"/>
      <c r="P30" s="13"/>
      <c r="Q30" s="13"/>
      <c r="R30" s="13"/>
      <c r="S30" s="13"/>
      <c r="T30" s="13"/>
    </row>
    <row r="31" ht="17" customHeight="1" spans="11:20">
      <c r="K31" s="13" t="s">
        <v>112</v>
      </c>
      <c r="L31" s="13"/>
      <c r="M31" s="13"/>
      <c r="N31" s="13"/>
      <c r="O31" s="13"/>
      <c r="P31" s="13"/>
      <c r="Q31" s="13"/>
      <c r="R31" s="13"/>
      <c r="S31" s="13"/>
      <c r="T31" s="13"/>
    </row>
    <row r="32" ht="17" customHeight="1" spans="11:20">
      <c r="K32" s="13" t="s">
        <v>113</v>
      </c>
      <c r="L32" s="13"/>
      <c r="M32" s="13"/>
      <c r="N32" s="13"/>
      <c r="O32" s="13"/>
      <c r="P32" s="13"/>
      <c r="Q32" s="13"/>
      <c r="R32" s="13"/>
      <c r="S32" s="13"/>
      <c r="T32" s="13"/>
    </row>
    <row r="33" ht="17" customHeight="1" spans="11:20">
      <c r="K33" s="13" t="s">
        <v>16</v>
      </c>
      <c r="L33" s="13"/>
      <c r="M33" s="13"/>
      <c r="N33" s="13"/>
      <c r="O33" s="13"/>
      <c r="P33" s="13"/>
      <c r="Q33" s="13"/>
      <c r="R33" s="13"/>
      <c r="S33" s="13"/>
      <c r="T33" s="13"/>
    </row>
    <row r="34" ht="17" customHeight="1" spans="1:1">
      <c r="A34" s="10" t="s">
        <v>68</v>
      </c>
    </row>
    <row r="35" ht="39" customHeight="1" spans="1:1">
      <c r="A35" s="12" t="s">
        <v>114</v>
      </c>
    </row>
    <row r="36" ht="17" customHeight="1" spans="1:10">
      <c r="A36" s="13" t="s">
        <v>115</v>
      </c>
      <c r="B36" s="13"/>
      <c r="C36" s="13"/>
      <c r="D36" s="13"/>
      <c r="E36" s="13"/>
      <c r="F36" s="13"/>
      <c r="G36" s="13"/>
      <c r="H36" s="13"/>
      <c r="I36" s="13"/>
      <c r="J36" s="13"/>
    </row>
    <row r="37" ht="17" customHeight="1" spans="1:10">
      <c r="A37" s="13" t="s">
        <v>116</v>
      </c>
      <c r="B37" s="13"/>
      <c r="C37" s="13"/>
      <c r="D37" s="13"/>
      <c r="E37" s="13"/>
      <c r="F37" s="13"/>
      <c r="G37" s="13"/>
      <c r="H37" s="13"/>
      <c r="I37" s="13"/>
      <c r="J37" s="13"/>
    </row>
    <row r="38" ht="17" customHeight="1" spans="1:10">
      <c r="A38" s="13" t="s">
        <v>117</v>
      </c>
      <c r="B38" s="13"/>
      <c r="C38" s="13"/>
      <c r="D38" s="13"/>
      <c r="E38" s="13"/>
      <c r="F38" s="13"/>
      <c r="G38" s="13"/>
      <c r="H38" s="13"/>
      <c r="I38" s="13"/>
      <c r="J38" s="13"/>
    </row>
    <row r="39" ht="17" customHeight="1" spans="1:10">
      <c r="A39" s="13" t="s">
        <v>118</v>
      </c>
      <c r="B39" s="13"/>
      <c r="C39" s="13"/>
      <c r="D39" s="13"/>
      <c r="E39" s="13"/>
      <c r="F39" s="13"/>
      <c r="G39" s="13"/>
      <c r="H39" s="13"/>
      <c r="I39" s="13"/>
      <c r="J39" s="13"/>
    </row>
    <row r="40" ht="17" customHeight="1" spans="1:1">
      <c r="A40" s="12" t="s">
        <v>119</v>
      </c>
    </row>
    <row r="41" ht="17" customHeight="1" spans="1:10">
      <c r="A41" s="13" t="s">
        <v>120</v>
      </c>
      <c r="B41" s="13"/>
      <c r="C41" s="13"/>
      <c r="D41" s="13"/>
      <c r="E41" s="13"/>
      <c r="F41" s="13"/>
      <c r="G41" s="13"/>
      <c r="H41" s="13"/>
      <c r="I41" s="13"/>
      <c r="J41" s="13"/>
    </row>
    <row r="42" ht="17" customHeight="1" spans="1:10">
      <c r="A42" s="13" t="s">
        <v>121</v>
      </c>
      <c r="B42" s="13"/>
      <c r="C42" s="13"/>
      <c r="D42" s="13"/>
      <c r="E42" s="13"/>
      <c r="F42" s="13"/>
      <c r="G42" s="13"/>
      <c r="H42" s="13"/>
      <c r="I42" s="13"/>
      <c r="J42" s="13"/>
    </row>
    <row r="43" ht="17" customHeight="1" spans="1:10">
      <c r="A43" s="13" t="s">
        <v>122</v>
      </c>
      <c r="B43" s="13"/>
      <c r="C43" s="13"/>
      <c r="D43" s="13"/>
      <c r="E43" s="13"/>
      <c r="F43" s="13"/>
      <c r="G43" s="13"/>
      <c r="H43" s="13"/>
      <c r="I43" s="13"/>
      <c r="J43" s="13"/>
    </row>
    <row r="44" ht="17" customHeight="1" spans="1:10">
      <c r="A44" s="13" t="s">
        <v>83</v>
      </c>
      <c r="B44" s="13"/>
      <c r="C44" s="13"/>
      <c r="D44" s="13"/>
      <c r="E44" s="13"/>
      <c r="F44" s="13"/>
      <c r="G44" s="13"/>
      <c r="H44" s="13"/>
      <c r="I44" s="13"/>
      <c r="J44" s="13"/>
    </row>
    <row r="45" ht="17" customHeight="1" spans="1:1">
      <c r="A45" s="12" t="s">
        <v>79</v>
      </c>
    </row>
    <row r="46" ht="17" customHeight="1" spans="1:10">
      <c r="A46" s="13" t="s">
        <v>123</v>
      </c>
      <c r="B46" s="13"/>
      <c r="C46" s="13"/>
      <c r="D46" s="13"/>
      <c r="E46" s="13"/>
      <c r="F46" s="13"/>
      <c r="G46" s="13"/>
      <c r="H46" s="13"/>
      <c r="I46" s="13"/>
      <c r="J46" s="13"/>
    </row>
    <row r="47" ht="17" customHeight="1" spans="1:10">
      <c r="A47" s="13" t="s">
        <v>124</v>
      </c>
      <c r="B47" s="13"/>
      <c r="C47" s="13"/>
      <c r="D47" s="13"/>
      <c r="E47" s="13"/>
      <c r="F47" s="13"/>
      <c r="G47" s="13"/>
      <c r="H47" s="13"/>
      <c r="I47" s="13"/>
      <c r="J47" s="13"/>
    </row>
    <row r="48" ht="17" customHeight="1" spans="1:10">
      <c r="A48" s="13" t="s">
        <v>125</v>
      </c>
      <c r="B48" s="13"/>
      <c r="C48" s="13"/>
      <c r="D48" s="13"/>
      <c r="E48" s="13"/>
      <c r="F48" s="13"/>
      <c r="G48" s="13"/>
      <c r="H48" s="13"/>
      <c r="I48" s="13"/>
      <c r="J48" s="13"/>
    </row>
    <row r="49" ht="17" customHeight="1" spans="1:10">
      <c r="A49" s="13" t="s">
        <v>83</v>
      </c>
      <c r="B49" s="13"/>
      <c r="C49" s="13"/>
      <c r="D49" s="13"/>
      <c r="E49" s="13"/>
      <c r="F49" s="13"/>
      <c r="G49" s="13"/>
      <c r="H49" s="13"/>
      <c r="I49" s="13"/>
      <c r="J49" s="13"/>
    </row>
    <row r="50" ht="17" customHeight="1" spans="1:15">
      <c r="A50" s="9" t="s">
        <v>84</v>
      </c>
      <c r="O50" s="9" t="s">
        <v>85</v>
      </c>
    </row>
    <row r="51" ht="33" customHeight="1"/>
  </sheetData>
  <mergeCells count="18">
    <mergeCell ref="A3:J3"/>
    <mergeCell ref="K3:T3"/>
    <mergeCell ref="A4:D4"/>
    <mergeCell ref="E4:J4"/>
    <mergeCell ref="K4:N4"/>
    <mergeCell ref="O4:T4"/>
    <mergeCell ref="A6:J6"/>
    <mergeCell ref="A13:J13"/>
    <mergeCell ref="K20:T20"/>
    <mergeCell ref="K27:T27"/>
    <mergeCell ref="A34:T34"/>
    <mergeCell ref="A35:J35"/>
    <mergeCell ref="A40:J40"/>
    <mergeCell ref="A45:J45"/>
    <mergeCell ref="A50:J50"/>
    <mergeCell ref="K50:N50"/>
    <mergeCell ref="O50:P50"/>
    <mergeCell ref="Q50:T50"/>
  </mergeCells>
  <dataValidations count="1">
    <dataValidation type="list" allowBlank="1" showErrorMessage="1" sqref="E4 O4">
      <formula1>"E优秀,G良好,P待提升,N需关注"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L32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8.70967741935484" defaultRowHeight="12.95"/>
  <cols>
    <col min="1" max="1" width="49" customWidth="1"/>
    <col min="2" max="3" width="52" customWidth="1"/>
    <col min="4" max="4" width="40" customWidth="1"/>
    <col min="5" max="5" width="30" customWidth="1"/>
    <col min="6" max="6" width="8" customWidth="1"/>
    <col min="7" max="7" width="17" customWidth="1"/>
    <col min="8" max="8" width="8" customWidth="1"/>
    <col min="9" max="9" width="12" customWidth="1"/>
    <col min="10" max="10" width="8" customWidth="1"/>
    <col min="11" max="11" width="12" customWidth="1"/>
    <col min="12" max="12" width="8" customWidth="1"/>
  </cols>
  <sheetData>
    <row r="1" ht="44" customHeight="1" spans="1:10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126</v>
      </c>
      <c r="J1" s="2"/>
    </row>
    <row r="2" ht="33" customHeight="1" spans="11:12">
      <c r="K2" s="1" t="s">
        <v>5</v>
      </c>
      <c r="L2" s="2"/>
    </row>
    <row r="3" ht="17" customHeight="1" spans="1:1">
      <c r="A3" s="3" t="s">
        <v>127</v>
      </c>
    </row>
    <row r="4" ht="39" customHeight="1" spans="1:5">
      <c r="A4" s="4" t="s">
        <v>128</v>
      </c>
      <c r="B4" s="4" t="s">
        <v>129</v>
      </c>
      <c r="C4" s="4" t="s">
        <v>130</v>
      </c>
      <c r="D4" s="4" t="s">
        <v>131</v>
      </c>
      <c r="E4" s="4" t="s">
        <v>132</v>
      </c>
    </row>
    <row r="5" ht="33" customHeight="1" spans="1:5">
      <c r="A5" s="5" t="s">
        <v>133</v>
      </c>
      <c r="B5" s="6" t="e">
        <f>VLOOKUP("知识掌握",晚辅课_每日量化反馈表!$A:$U,21,FALSE)</f>
        <v>#N/A</v>
      </c>
      <c r="C5" s="6" t="e">
        <f>VLOOKUP("知识掌握",晚辅课_每日量化反馈表!$A:$U,21,FALSE)</f>
        <v>#N/A</v>
      </c>
      <c r="D5" s="6">
        <f ca="1" t="shared" ref="D5:D7" si="0">IF(C5&gt;D5,"↓",IF(C5&lt;D5,"↑","→"))</f>
        <v>0</v>
      </c>
      <c r="E5" s="6" t="s">
        <v>134</v>
      </c>
    </row>
    <row r="6" ht="17" customHeight="1" spans="1:5">
      <c r="A6" s="5" t="s">
        <v>135</v>
      </c>
      <c r="B6" s="6" t="e">
        <f>VLOOKUP("学习习惯",晚辅课_每日量化反馈表!$A:$U,21,FALSE)</f>
        <v>#N/A</v>
      </c>
      <c r="C6" s="6" t="e">
        <f>VLOOKUP("学习习惯",晚辅课_每日量化反馈表!$A:$U,21,FALSE)</f>
        <v>#N/A</v>
      </c>
      <c r="D6" s="6">
        <f ca="1" t="shared" si="0"/>
        <v>0</v>
      </c>
      <c r="E6" s="6" t="s">
        <v>134</v>
      </c>
    </row>
    <row r="7" ht="17" customHeight="1" spans="1:5">
      <c r="A7" s="5" t="s">
        <v>136</v>
      </c>
      <c r="B7" s="6" t="e">
        <f>VLOOKUP("心态&amp;学习内驱力",晚辅课_每日量化反馈表!$A:$U,21,FALSE)</f>
        <v>#N/A</v>
      </c>
      <c r="C7" s="6" t="e">
        <f>VLOOKUP("心态&amp;学习内驱力",晚辅课_每日量化反馈表!$A:$U,21,FALSE)</f>
        <v>#N/A</v>
      </c>
      <c r="D7" s="6">
        <f ca="1" t="shared" si="0"/>
        <v>0</v>
      </c>
      <c r="E7" s="6" t="s">
        <v>134</v>
      </c>
    </row>
    <row r="8" ht="17" customHeight="1"/>
    <row r="9" ht="17" customHeight="1" spans="1:1">
      <c r="A9" s="7" t="s">
        <v>137</v>
      </c>
    </row>
    <row r="10" ht="17" customHeight="1" spans="1:3">
      <c r="A10" s="8" t="s">
        <v>138</v>
      </c>
      <c r="C10" s="2" t="s">
        <v>139</v>
      </c>
    </row>
    <row r="11" ht="17" customHeight="1" spans="1:3">
      <c r="A11" s="8" t="s">
        <v>140</v>
      </c>
      <c r="C11" s="2" t="s">
        <v>141</v>
      </c>
    </row>
    <row r="12" ht="17" customHeight="1" spans="1:3">
      <c r="A12" s="8" t="s">
        <v>142</v>
      </c>
      <c r="C12" s="2"/>
    </row>
    <row r="13" ht="17" customHeight="1"/>
    <row r="14" ht="17" customHeight="1" spans="1:1">
      <c r="A14" s="7" t="s">
        <v>143</v>
      </c>
    </row>
    <row r="15" ht="17" customHeight="1" spans="1:3">
      <c r="A15" s="8" t="s">
        <v>138</v>
      </c>
      <c r="C15" s="2" t="s">
        <v>144</v>
      </c>
    </row>
    <row r="16" ht="17" customHeight="1" spans="1:3">
      <c r="A16" s="8" t="s">
        <v>145</v>
      </c>
      <c r="C16" s="2" t="s">
        <v>146</v>
      </c>
    </row>
    <row r="17" ht="17" customHeight="1" spans="1:3">
      <c r="A17" s="8" t="s">
        <v>147</v>
      </c>
      <c r="C17" s="2"/>
    </row>
    <row r="18" ht="17" customHeight="1"/>
    <row r="19" ht="17" customHeight="1" spans="1:1">
      <c r="A19" s="7" t="s">
        <v>148</v>
      </c>
    </row>
    <row r="20" ht="17" customHeight="1" spans="1:3">
      <c r="A20" s="8" t="s">
        <v>138</v>
      </c>
      <c r="C20" s="2" t="s">
        <v>149</v>
      </c>
    </row>
    <row r="21" ht="17" customHeight="1" spans="1:3">
      <c r="A21" s="8" t="s">
        <v>145</v>
      </c>
      <c r="C21" s="2" t="s">
        <v>150</v>
      </c>
    </row>
    <row r="22" ht="17" customHeight="1" spans="1:3">
      <c r="A22" s="8" t="s">
        <v>151</v>
      </c>
      <c r="C22" s="2"/>
    </row>
    <row r="23" ht="17" customHeight="1"/>
    <row r="24" ht="17" customHeight="1" spans="1:1">
      <c r="A24" s="3" t="s">
        <v>152</v>
      </c>
    </row>
    <row r="25" ht="39" customHeight="1" spans="1:3">
      <c r="A25" s="8" t="s">
        <v>153</v>
      </c>
      <c r="C25" s="2" t="s">
        <v>154</v>
      </c>
    </row>
    <row r="26" ht="17" customHeight="1" spans="1:3">
      <c r="A26" s="8" t="s">
        <v>155</v>
      </c>
      <c r="C26" s="2" t="s">
        <v>156</v>
      </c>
    </row>
    <row r="27" ht="17" customHeight="1" spans="1:3">
      <c r="A27" s="8" t="s">
        <v>157</v>
      </c>
      <c r="C27" s="2"/>
    </row>
    <row r="28" ht="66" customHeight="1"/>
    <row r="29" ht="17" customHeight="1"/>
    <row r="30" ht="17" customHeight="1" spans="1:3">
      <c r="A30" s="8" t="s">
        <v>158</v>
      </c>
      <c r="C30" s="9" t="s">
        <v>159</v>
      </c>
    </row>
    <row r="31" ht="33" customHeight="1" spans="1:1">
      <c r="A31" s="9" t="s">
        <v>160</v>
      </c>
    </row>
    <row r="32" ht="17" customHeight="1"/>
  </sheetData>
  <mergeCells count="33">
    <mergeCell ref="A3:J3"/>
    <mergeCell ref="A9:J9"/>
    <mergeCell ref="A10:B10"/>
    <mergeCell ref="C10:J10"/>
    <mergeCell ref="A11:B11"/>
    <mergeCell ref="C11:J11"/>
    <mergeCell ref="A12:B12"/>
    <mergeCell ref="C12:J12"/>
    <mergeCell ref="A14:J14"/>
    <mergeCell ref="A15:B15"/>
    <mergeCell ref="C15:J15"/>
    <mergeCell ref="A16:B16"/>
    <mergeCell ref="C16:J16"/>
    <mergeCell ref="A17:B17"/>
    <mergeCell ref="C17:J17"/>
    <mergeCell ref="A19:J19"/>
    <mergeCell ref="A20:B20"/>
    <mergeCell ref="C20:J20"/>
    <mergeCell ref="A21:B21"/>
    <mergeCell ref="C21:J21"/>
    <mergeCell ref="A22:B22"/>
    <mergeCell ref="C22:J22"/>
    <mergeCell ref="A24:J24"/>
    <mergeCell ref="A25:B25"/>
    <mergeCell ref="C25:J25"/>
    <mergeCell ref="A26:B26"/>
    <mergeCell ref="C26:J26"/>
    <mergeCell ref="A27:B27"/>
    <mergeCell ref="A30:B30"/>
    <mergeCell ref="C30:D30"/>
    <mergeCell ref="A31:B31"/>
    <mergeCell ref="C31:J31"/>
    <mergeCell ref="C27:J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晚辅课_每日量化反馈表</vt:lpstr>
      <vt:lpstr>专项加时课_单次量化反馈表</vt:lpstr>
      <vt:lpstr>月度学情量化汇总表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2026-09-01T00:55:11Z</dcterms:created>
  <dcterms:modified xsi:type="dcterms:W3CDTF">2026-09-03T01:33:51Z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{"Label":"1","ContentProducer":"001191110102MACQD9K64010000","ProduceID":"7675048961400376531","ReservedCode1":"","ContentPropagator":"","PropagateID":"","ReservedCode2":""}</vt:lpwstr>
  </property>
  <property fmtid="{D5CDD505-2E9C-101B-9397-08002B2CF9AE}" pid="3" name="ICV">
    <vt:lpwstr>4FA05FFE2A531EE98822966AEC1E8D5D_33</vt:lpwstr>
  </property>
  <property fmtid="{D5CDD505-2E9C-101B-9397-08002B2CF9AE}" pid="4" name="KSOProductBuildVer">
    <vt:lpwstr>2052-26.8.1</vt:lpwstr>
  </property>
</Properties>
</file>